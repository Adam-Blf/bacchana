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prévision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,0%"/>
    <numFmt numFmtId="165" formatCode="#,##0\ &quot;€&quot;"/>
  </numFmts>
  <fonts count="7">
    <font>
      <name val="Calibri"/>
      <family val="2"/>
      <color theme="1"/>
      <sz val="11"/>
      <scheme val="minor"/>
    </font>
    <font>
      <name val="Georgia"/>
      <b val="1"/>
      <color rgb="001C1C1E"/>
      <sz val="16"/>
    </font>
    <font>
      <name val="Segoe UI"/>
      <b val="1"/>
      <color rgb="001C1C1E"/>
      <sz val="10"/>
    </font>
    <font>
      <name val="Segoe UI"/>
      <i val="1"/>
      <color rgb="006B6B6B"/>
      <sz val="9"/>
    </font>
    <font>
      <name val="Georgia"/>
      <b val="1"/>
      <color rgb="00FFFFFF"/>
      <sz val="12"/>
    </font>
    <font>
      <name val="Segoe UI"/>
      <color rgb="001C1C1E"/>
      <sz val="10"/>
    </font>
    <font>
      <name val="Segoe UI"/>
      <i val="1"/>
      <color rgb="006B6B6B"/>
      <sz val="10"/>
    </font>
  </fonts>
  <fills count="6">
    <fill>
      <patternFill/>
    </fill>
    <fill>
      <patternFill patternType="gray125"/>
    </fill>
    <fill>
      <patternFill patternType="solid">
        <fgColor rgb="00FFF6DF"/>
      </patternFill>
    </fill>
    <fill>
      <patternFill patternType="solid">
        <fgColor rgb="00A9803F"/>
      </patternFill>
    </fill>
    <fill>
      <patternFill patternType="solid">
        <fgColor rgb="00EFE7D8"/>
      </patternFill>
    </fill>
    <fill>
      <patternFill patternType="solid">
        <fgColor rgb="00F5EFE2"/>
      </patternFill>
    </fill>
  </fills>
  <borders count="2">
    <border>
      <left/>
      <right/>
      <top/>
      <bottom/>
      <diagonal/>
    </border>
    <border>
      <bottom style="thin">
        <color rgb="00D8CDB6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2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2" fillId="4" borderId="1" pivotButton="0" quotePrefix="0" xfId="0"/>
    <xf numFmtId="0" fontId="2" fillId="4" borderId="1" applyAlignment="1" pivotButton="0" quotePrefix="0" xfId="0">
      <alignment horizontal="right"/>
    </xf>
    <xf numFmtId="0" fontId="5" fillId="0" borderId="0" pivotButton="0" quotePrefix="0" xfId="0"/>
    <xf numFmtId="3" fontId="5" fillId="0" borderId="0" pivotButton="0" quotePrefix="0" xfId="0"/>
    <xf numFmtId="0" fontId="3" fillId="0" borderId="0" applyAlignment="1" pivotButton="0" quotePrefix="0" xfId="0">
      <alignment vertical="top" wrapText="1"/>
    </xf>
    <xf numFmtId="164" fontId="5" fillId="0" borderId="0" pivotButton="0" quotePrefix="0" xfId="0"/>
    <xf numFmtId="165" fontId="5" fillId="0" borderId="0" pivotButton="0" quotePrefix="0" xfId="0"/>
    <xf numFmtId="0" fontId="6" fillId="0" borderId="0" pivotButton="0" quotePrefix="0" xfId="0"/>
    <xf numFmtId="3" fontId="6" fillId="0" borderId="0" pivotButton="0" quotePrefix="0" xfId="0"/>
    <xf numFmtId="165" fontId="6" fillId="0" borderId="0" pivotButton="0" quotePrefix="0" xfId="0"/>
    <xf numFmtId="0" fontId="2" fillId="5" borderId="1" pivotButton="0" quotePrefix="0" xfId="0"/>
    <xf numFmtId="165" fontId="2" fillId="5" borderId="1" pivotButton="0" quotePrefix="0" xfId="0"/>
    <xf numFmtId="0" fontId="3" fillId="5" borderId="1" applyAlignment="1" pivotButton="0" quotePrefix="0" xfId="0">
      <alignment vertical="top" wrapText="1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A9803F"/>
    <outlinePr summaryBelow="1" summaryRight="1"/>
    <pageSetUpPr/>
  </sheetPr>
  <dimension ref="A1:E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62" customWidth="1" min="5" max="5"/>
  </cols>
  <sheetData>
    <row r="1" ht="26" customHeight="1">
      <c r="A1" s="1" t="inlineStr">
        <is>
          <t>Budget prévisionnel La Tournée, trois scénarios sur trois ans</t>
        </is>
      </c>
    </row>
    <row r="2">
      <c r="A2" s="2" t="inlineStr">
        <is>
          <t>Taux de cotisations sociales appliqué</t>
        </is>
      </c>
      <c r="B2" s="3" t="n">
        <v>0.258</v>
      </c>
      <c r="C2" s="4" t="inlineStr">
        <is>
          <t>25,6 % de cotisations sociales 2026 pour une activité libérale non réglementée affiliée au régime général, plus 0,2 % de contribution à la formation professionnelle. Modifiez cette seule cellule pour tester une autre hypothèse.</t>
        </is>
      </c>
    </row>
    <row r="4" ht="20" customHeight="1">
      <c r="A4" s="5" t="inlineStr">
        <is>
          <t>SCÉNARIO PRUDENT</t>
        </is>
      </c>
      <c r="B4" s="6" t="n"/>
      <c r="C4" s="6" t="n"/>
      <c r="D4" s="6" t="n"/>
      <c r="E4" s="6" t="n"/>
    </row>
    <row r="5">
      <c r="A5" s="7" t="inlineStr">
        <is>
          <t>Poste</t>
        </is>
      </c>
      <c r="B5" s="8" t="inlineStr">
        <is>
          <t>Année 1</t>
        </is>
      </c>
      <c r="C5" s="8" t="inlineStr">
        <is>
          <t>Année 2</t>
        </is>
      </c>
      <c r="D5" s="8" t="inlineStr">
        <is>
          <t>Année 3</t>
        </is>
      </c>
      <c r="E5" s="7" t="inlineStr">
        <is>
          <t>Hypothèse</t>
        </is>
      </c>
    </row>
    <row r="6">
      <c r="A6" s="9" t="inlineStr">
        <is>
          <t>Téléchargements (installations)</t>
        </is>
      </c>
      <c r="B6" s="10" t="n">
        <v>3000</v>
      </c>
      <c r="C6" s="10" t="n">
        <v>6000</v>
      </c>
      <c r="D6" s="10" t="n">
        <v>9000</v>
      </c>
      <c r="E6" s="11" t="inlineStr">
        <is>
          <t>Croissance organique lente, sans budget marketing</t>
        </is>
      </c>
    </row>
    <row r="7">
      <c r="A7" s="9" t="inlineStr">
        <is>
          <t>Taux de conversion en payeurs</t>
        </is>
      </c>
      <c r="B7" s="12" t="n">
        <v>0.01</v>
      </c>
      <c r="C7" s="12" t="n">
        <v>0.01</v>
      </c>
      <c r="D7" s="12" t="n">
        <v>0.01</v>
      </c>
      <c r="E7" s="11" t="inlineStr">
        <is>
          <t>Bas de fourchette du benchmark freemium (2 à 5 %)</t>
        </is>
      </c>
    </row>
    <row r="8">
      <c r="A8" s="9" t="inlineStr">
        <is>
          <t>Panier moyen par payeur</t>
        </is>
      </c>
      <c r="B8" s="13" t="n">
        <v>15.44</v>
      </c>
      <c r="C8" s="13" t="n">
        <v>15.44</v>
      </c>
      <c r="D8" s="13" t="n">
        <v>15.44</v>
      </c>
      <c r="E8" s="11" t="inlineStr">
        <is>
          <t>14,99 € pour le pass complet, plus 15 % qui ajoutent un pack à 2,99 €</t>
        </is>
      </c>
    </row>
    <row r="9">
      <c r="A9" s="14" t="inlineStr">
        <is>
          <t>Payeurs</t>
        </is>
      </c>
      <c r="B9" s="15">
        <f>B6*B7</f>
        <v/>
      </c>
      <c r="C9" s="15">
        <f>C6*C7</f>
        <v/>
      </c>
      <c r="D9" s="15">
        <f>D6*D7</f>
        <v/>
      </c>
      <c r="E9" s="11" t="inlineStr">
        <is>
          <t>Calculé</t>
        </is>
      </c>
    </row>
    <row r="10">
      <c r="A10" s="14" t="inlineStr">
        <is>
          <t>Chiffre d'affaires brut</t>
        </is>
      </c>
      <c r="B10" s="16">
        <f>B9*B8</f>
        <v/>
      </c>
      <c r="C10" s="16">
        <f>C9*C8</f>
        <v/>
      </c>
      <c r="D10" s="16">
        <f>D9*D8</f>
        <v/>
      </c>
      <c r="E10" s="11" t="inlineStr">
        <is>
          <t>Calculé</t>
        </is>
      </c>
    </row>
    <row r="11">
      <c r="A11" s="9" t="inlineStr">
        <is>
          <t>Taux de commission des plateformes</t>
        </is>
      </c>
      <c r="B11" s="12" t="n">
        <v>0.15</v>
      </c>
      <c r="C11" s="12" t="n">
        <v>0.15</v>
      </c>
      <c r="D11" s="12" t="n">
        <v>0.15</v>
      </c>
      <c r="E11" s="11" t="inlineStr">
        <is>
          <t>Apple et Google Small Business Program (15 % si les recettes restent sous 1 million de dollars par an)</t>
        </is>
      </c>
    </row>
    <row r="12">
      <c r="A12" s="14" t="inlineStr">
        <is>
          <t>Chiffre d'affaires net encaissé</t>
        </is>
      </c>
      <c r="B12" s="16">
        <f>B10*(1-B11)</f>
        <v/>
      </c>
      <c r="C12" s="16">
        <f>C10*(1-C11)</f>
        <v/>
      </c>
      <c r="D12" s="16">
        <f>D10*(1-D11)</f>
        <v/>
      </c>
      <c r="E12" s="11" t="inlineStr">
        <is>
          <t>Calculé</t>
        </is>
      </c>
    </row>
    <row r="13">
      <c r="A13" s="9" t="inlineStr">
        <is>
          <t>Charges fixes</t>
        </is>
      </c>
      <c r="B13" s="13" t="n">
        <v>334</v>
      </c>
      <c r="C13" s="13" t="n">
        <v>461</v>
      </c>
      <c r="D13" s="13" t="n">
        <v>661</v>
      </c>
      <c r="E13" s="11" t="inlineStr">
        <is>
          <t>Apple Developer 91 €, Google Play 23 € la première année seulement, Vercel Pro 220 €, CFE estimée</t>
        </is>
      </c>
    </row>
    <row r="14">
      <c r="A14" s="14" t="inlineStr">
        <is>
          <t>Cotisations URSSAF micro-BNC</t>
        </is>
      </c>
      <c r="B14" s="16">
        <f>B12*$B$2</f>
        <v/>
      </c>
      <c r="C14" s="16">
        <f>C12*$B$2</f>
        <v/>
      </c>
      <c r="D14" s="16">
        <f>D12*$B$2</f>
        <v/>
      </c>
      <c r="E14" s="11" t="inlineStr">
        <is>
          <t>Assises sur les recettes encaissées</t>
        </is>
      </c>
    </row>
    <row r="15">
      <c r="A15" s="17" t="inlineStr">
        <is>
          <t>Résultat avant impôt sur le revenu</t>
        </is>
      </c>
      <c r="B15" s="18">
        <f>B12-B13-B14</f>
        <v/>
      </c>
      <c r="C15" s="18">
        <f>C12-C13-C14</f>
        <v/>
      </c>
      <c r="D15" s="18">
        <f>D12-D13-D14</f>
        <v/>
      </c>
      <c r="E15" s="19" t="inlineStr">
        <is>
          <t>Calculé</t>
        </is>
      </c>
    </row>
    <row r="17" ht="20" customHeight="1">
      <c r="A17" s="5" t="inlineStr">
        <is>
          <t>SCÉNARIO MÉDIAN</t>
        </is>
      </c>
      <c r="B17" s="6" t="n"/>
      <c r="C17" s="6" t="n"/>
      <c r="D17" s="6" t="n"/>
      <c r="E17" s="6" t="n"/>
    </row>
    <row r="18">
      <c r="A18" s="7" t="inlineStr">
        <is>
          <t>Poste</t>
        </is>
      </c>
      <c r="B18" s="8" t="inlineStr">
        <is>
          <t>Année 1</t>
        </is>
      </c>
      <c r="C18" s="8" t="inlineStr">
        <is>
          <t>Année 2</t>
        </is>
      </c>
      <c r="D18" s="8" t="inlineStr">
        <is>
          <t>Année 3</t>
        </is>
      </c>
      <c r="E18" s="7" t="inlineStr">
        <is>
          <t>Hypothèse</t>
        </is>
      </c>
    </row>
    <row r="19">
      <c r="A19" s="9" t="inlineStr">
        <is>
          <t>Téléchargements (installations)</t>
        </is>
      </c>
      <c r="B19" s="10" t="n">
        <v>10000</v>
      </c>
      <c r="C19" s="10" t="n">
        <v>20000</v>
      </c>
      <c r="D19" s="10" t="n">
        <v>30000</v>
      </c>
      <c r="E19" s="11" t="inlineStr">
        <is>
          <t>Instagram organique, canal de découverte dominant selon l'enquête</t>
        </is>
      </c>
    </row>
    <row r="20">
      <c r="A20" s="9" t="inlineStr">
        <is>
          <t>Taux de conversion en payeurs</t>
        </is>
      </c>
      <c r="B20" s="12" t="n">
        <v>0.025</v>
      </c>
      <c r="C20" s="12" t="n">
        <v>0.025</v>
      </c>
      <c r="D20" s="12" t="n">
        <v>0.025</v>
      </c>
      <c r="E20" s="11" t="inlineStr">
        <is>
          <t>Milieu de fourchette du benchmark freemium (2 à 5 %)</t>
        </is>
      </c>
    </row>
    <row r="21">
      <c r="A21" s="9" t="inlineStr">
        <is>
          <t>Panier moyen par payeur</t>
        </is>
      </c>
      <c r="B21" s="13" t="n">
        <v>15.44</v>
      </c>
      <c r="C21" s="13" t="n">
        <v>15.44</v>
      </c>
      <c r="D21" s="13" t="n">
        <v>15.44</v>
      </c>
      <c r="E21" s="11" t="inlineStr">
        <is>
          <t>Identique au scénario prudent</t>
        </is>
      </c>
    </row>
    <row r="22">
      <c r="A22" s="14" t="inlineStr">
        <is>
          <t>Payeurs</t>
        </is>
      </c>
      <c r="B22" s="15">
        <f>B19*B20</f>
        <v/>
      </c>
      <c r="C22" s="15">
        <f>C19*C20</f>
        <v/>
      </c>
      <c r="D22" s="15">
        <f>D19*D20</f>
        <v/>
      </c>
      <c r="E22" s="11" t="inlineStr">
        <is>
          <t>Calculé</t>
        </is>
      </c>
    </row>
    <row r="23">
      <c r="A23" s="14" t="inlineStr">
        <is>
          <t>Chiffre d'affaires brut</t>
        </is>
      </c>
      <c r="B23" s="16">
        <f>B22*B21</f>
        <v/>
      </c>
      <c r="C23" s="16">
        <f>C22*C21</f>
        <v/>
      </c>
      <c r="D23" s="16">
        <f>D22*D21</f>
        <v/>
      </c>
      <c r="E23" s="11" t="inlineStr">
        <is>
          <t>Calculé</t>
        </is>
      </c>
    </row>
    <row r="24">
      <c r="A24" s="9" t="inlineStr">
        <is>
          <t>Taux de commission des plateformes</t>
        </is>
      </c>
      <c r="B24" s="12" t="n">
        <v>0.15</v>
      </c>
      <c r="C24" s="12" t="n">
        <v>0.15</v>
      </c>
      <c r="D24" s="12" t="n">
        <v>0.15</v>
      </c>
      <c r="E24" s="11" t="inlineStr">
        <is>
          <t>Identique au scénario prudent</t>
        </is>
      </c>
    </row>
    <row r="25">
      <c r="A25" s="14" t="inlineStr">
        <is>
          <t>Chiffre d'affaires net encaissé</t>
        </is>
      </c>
      <c r="B25" s="16">
        <f>B23*(1-B24)</f>
        <v/>
      </c>
      <c r="C25" s="16">
        <f>C23*(1-C24)</f>
        <v/>
      </c>
      <c r="D25" s="16">
        <f>D23*(1-D24)</f>
        <v/>
      </c>
      <c r="E25" s="11" t="inlineStr">
        <is>
          <t>Calculé</t>
        </is>
      </c>
    </row>
    <row r="26">
      <c r="A26" s="9" t="inlineStr">
        <is>
          <t>Charges fixes</t>
        </is>
      </c>
      <c r="B26" s="13" t="n">
        <v>334</v>
      </c>
      <c r="C26" s="13" t="n">
        <v>461</v>
      </c>
      <c r="D26" s="13" t="n">
        <v>661</v>
      </c>
      <c r="E26" s="11" t="inlineStr">
        <is>
          <t>Identique au scénario prudent</t>
        </is>
      </c>
    </row>
    <row r="27">
      <c r="A27" s="14" t="inlineStr">
        <is>
          <t>Cotisations URSSAF micro-BNC</t>
        </is>
      </c>
      <c r="B27" s="16">
        <f>B25*$B$2</f>
        <v/>
      </c>
      <c r="C27" s="16">
        <f>C25*$B$2</f>
        <v/>
      </c>
      <c r="D27" s="16">
        <f>D25*$B$2</f>
        <v/>
      </c>
      <c r="E27" s="11" t="inlineStr">
        <is>
          <t>Assises sur les recettes encaissées</t>
        </is>
      </c>
    </row>
    <row r="28">
      <c r="A28" s="17" t="inlineStr">
        <is>
          <t>Résultat avant impôt sur le revenu</t>
        </is>
      </c>
      <c r="B28" s="18">
        <f>B25-B26-B27</f>
        <v/>
      </c>
      <c r="C28" s="18">
        <f>C25-C26-C27</f>
        <v/>
      </c>
      <c r="D28" s="18">
        <f>D25-D26-D27</f>
        <v/>
      </c>
      <c r="E28" s="19" t="inlineStr">
        <is>
          <t>Calculé</t>
        </is>
      </c>
    </row>
    <row r="30" ht="20" customHeight="1">
      <c r="A30" s="5" t="inlineStr">
        <is>
          <t>SCÉNARIO OPTIMISTE</t>
        </is>
      </c>
      <c r="B30" s="6" t="n"/>
      <c r="C30" s="6" t="n"/>
      <c r="D30" s="6" t="n"/>
      <c r="E30" s="6" t="n"/>
    </row>
    <row r="31">
      <c r="A31" s="7" t="inlineStr">
        <is>
          <t>Poste</t>
        </is>
      </c>
      <c r="B31" s="8" t="inlineStr">
        <is>
          <t>Année 1</t>
        </is>
      </c>
      <c r="C31" s="8" t="inlineStr">
        <is>
          <t>Année 2</t>
        </is>
      </c>
      <c r="D31" s="8" t="inlineStr">
        <is>
          <t>Année 3</t>
        </is>
      </c>
      <c r="E31" s="7" t="inlineStr">
        <is>
          <t>Hypothèse</t>
        </is>
      </c>
    </row>
    <row r="32">
      <c r="A32" s="9" t="inlineStr">
        <is>
          <t>Téléchargements (installations)</t>
        </is>
      </c>
      <c r="B32" s="10" t="n">
        <v>30000</v>
      </c>
      <c r="C32" s="10" t="n">
        <v>60000</v>
      </c>
      <c r="D32" s="10" t="n">
        <v>100000</v>
      </c>
      <c r="E32" s="11" t="inlineStr">
        <is>
          <t>Traction forte hypothétique, sans commune mesure avec la traction actuelle qui est nulle</t>
        </is>
      </c>
    </row>
    <row r="33">
      <c r="A33" s="9" t="inlineStr">
        <is>
          <t>Taux de conversion en payeurs</t>
        </is>
      </c>
      <c r="B33" s="12" t="n">
        <v>0.05</v>
      </c>
      <c r="C33" s="12" t="n">
        <v>0.05</v>
      </c>
      <c r="D33" s="12" t="n">
        <v>0.05</v>
      </c>
      <c r="E33" s="11" t="inlineStr">
        <is>
          <t>Haut de fourchette du benchmark freemium, proche du quartile supérieur</t>
        </is>
      </c>
    </row>
    <row r="34">
      <c r="A34" s="9" t="inlineStr">
        <is>
          <t>Panier moyen par payeur</t>
        </is>
      </c>
      <c r="B34" s="13" t="n">
        <v>15.44</v>
      </c>
      <c r="C34" s="13" t="n">
        <v>15.44</v>
      </c>
      <c r="D34" s="13" t="n">
        <v>15.44</v>
      </c>
      <c r="E34" s="11" t="inlineStr">
        <is>
          <t>Identique</t>
        </is>
      </c>
    </row>
    <row r="35">
      <c r="A35" s="14" t="inlineStr">
        <is>
          <t>Payeurs</t>
        </is>
      </c>
      <c r="B35" s="15">
        <f>B32*B33</f>
        <v/>
      </c>
      <c r="C35" s="15">
        <f>C32*C33</f>
        <v/>
      </c>
      <c r="D35" s="15">
        <f>D32*D33</f>
        <v/>
      </c>
      <c r="E35" s="11" t="inlineStr">
        <is>
          <t>Calculé</t>
        </is>
      </c>
    </row>
    <row r="36">
      <c r="A36" s="14" t="inlineStr">
        <is>
          <t>Chiffre d'affaires brut</t>
        </is>
      </c>
      <c r="B36" s="16">
        <f>B35*B34</f>
        <v/>
      </c>
      <c r="C36" s="16">
        <f>C35*C34</f>
        <v/>
      </c>
      <c r="D36" s="16">
        <f>D35*D34</f>
        <v/>
      </c>
      <c r="E36" s="11" t="inlineStr">
        <is>
          <t>Calculé</t>
        </is>
      </c>
    </row>
    <row r="37">
      <c r="A37" s="9" t="inlineStr">
        <is>
          <t>Taux de commission des plateformes</t>
        </is>
      </c>
      <c r="B37" s="12" t="n">
        <v>0.15</v>
      </c>
      <c r="C37" s="12" t="n">
        <v>0.16</v>
      </c>
      <c r="D37" s="12" t="n">
        <v>0.16</v>
      </c>
      <c r="E37" s="11" t="inlineStr">
        <is>
          <t>Année 1 sous le seuil gratuit de RevenueCat (2 500 € de revenu suivi par mois) donc 15 % seuls, années 2 et 3 au-dessus du seuil donc 1 % de plus</t>
        </is>
      </c>
    </row>
    <row r="38">
      <c r="A38" s="14" t="inlineStr">
        <is>
          <t>Chiffre d'affaires net encaissé</t>
        </is>
      </c>
      <c r="B38" s="16">
        <f>B36*(1-B37)</f>
        <v/>
      </c>
      <c r="C38" s="16">
        <f>C36*(1-C37)</f>
        <v/>
      </c>
      <c r="D38" s="16">
        <f>D36*(1-D37)</f>
        <v/>
      </c>
      <c r="E38" s="11" t="inlineStr">
        <is>
          <t>Calculé</t>
        </is>
      </c>
    </row>
    <row r="39">
      <c r="A39" s="9" t="inlineStr">
        <is>
          <t>Charges fixes</t>
        </is>
      </c>
      <c r="B39" s="13" t="n">
        <v>334</v>
      </c>
      <c r="C39" s="13" t="n">
        <v>748</v>
      </c>
      <c r="D39" s="13" t="n">
        <v>948</v>
      </c>
      <c r="E39" s="11" t="inlineStr">
        <is>
          <t>Années 2 et 3 avec l'ajout de Sentry Team estimé à 287 € par an, lié au volume d'erreurs plus élevé</t>
        </is>
      </c>
    </row>
    <row r="40">
      <c r="A40" s="14" t="inlineStr">
        <is>
          <t>Cotisations URSSAF micro-BNC</t>
        </is>
      </c>
      <c r="B40" s="16">
        <f>B38*$B$2</f>
        <v/>
      </c>
      <c r="C40" s="16">
        <f>C38*$B$2</f>
        <v/>
      </c>
      <c r="D40" s="16">
        <f>D38*$B$2</f>
        <v/>
      </c>
      <c r="E40" s="11" t="inlineStr">
        <is>
          <t>Assises sur les recettes encaissées</t>
        </is>
      </c>
    </row>
    <row r="41">
      <c r="A41" s="17" t="inlineStr">
        <is>
          <t>Résultat avant impôt sur le revenu</t>
        </is>
      </c>
      <c r="B41" s="18">
        <f>B38-B39-B40</f>
        <v/>
      </c>
      <c r="C41" s="18">
        <f>C38-C39-C40</f>
        <v/>
      </c>
      <c r="D41" s="18">
        <f>D38-D39-D40</f>
        <v/>
      </c>
      <c r="E41" s="19" t="inlineStr">
        <is>
          <t>Calculé</t>
        </is>
      </c>
    </row>
    <row r="43">
      <c r="A43" s="5" t="inlineStr">
        <is>
          <t>SYNTHÈSE SUR TROIS ANS</t>
        </is>
      </c>
      <c r="B43" s="6" t="n"/>
      <c r="C43" s="6" t="n"/>
      <c r="D43" s="6" t="n"/>
      <c r="E43" s="6" t="n"/>
    </row>
    <row r="44">
      <c r="A44" s="7" t="inlineStr">
        <is>
          <t>Poste</t>
        </is>
      </c>
      <c r="B44" s="8" t="inlineStr">
        <is>
          <t>Prudent</t>
        </is>
      </c>
      <c r="C44" s="8" t="inlineStr">
        <is>
          <t>Médian</t>
        </is>
      </c>
      <c r="D44" s="8" t="inlineStr">
        <is>
          <t>Optimiste</t>
        </is>
      </c>
      <c r="E44" s="7" t="inlineStr"/>
    </row>
    <row r="45">
      <c r="A45" s="17" t="inlineStr">
        <is>
          <t>Résultat cumulé avant impôt</t>
        </is>
      </c>
      <c r="B45" s="18">
        <f>SUM(B15:D15)</f>
        <v/>
      </c>
      <c r="C45" s="18">
        <f>SUM(B28:D28)</f>
        <v/>
      </c>
      <c r="D45" s="18">
        <f>SUM(B41:D41)</f>
        <v/>
      </c>
      <c r="E45" s="20" t="n"/>
    </row>
    <row r="47" ht="46" customHeight="1">
      <c r="A47" s="2" t="inlineStr">
        <is>
          <t>Rappel de seuil</t>
        </is>
      </c>
      <c r="B47" s="11" t="inlineStr">
        <is>
          <t>Le plafond du régime micro-BNC est de 83 600 € de recettes encaissées par an pour la période 2026-2028, après la revalorisation de 7,6 % de la loi de finances 2026. Aucun des trois scénarios ne l'atteint sur l'horizon modélisé.</t>
        </is>
      </c>
    </row>
  </sheetData>
  <mergeCells count="3">
    <mergeCell ref="C2:E2"/>
    <mergeCell ref="A1:E1"/>
    <mergeCell ref="B47:E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2026-08-05T13:04:38Z</dcterms:created>
  <dcterms:modified xmlns:dcterms="http://purl.org/dc/terms/" xmlns:xsi="http://www.w3.org/2001/XMLSchema-instance" xsi:type="dcterms:W3CDTF">2026-08-05T13:04:38Z</dcterms:modified>
</cp:coreProperties>
</file>